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ai\Documents\"/>
    </mc:Choice>
  </mc:AlternateContent>
  <xr:revisionPtr revIDLastSave="0" documentId="13_ncr:1_{72AA7328-EFFC-473A-B27F-01A2B27346FB}" xr6:coauthVersionLast="47" xr6:coauthVersionMax="47" xr10:uidLastSave="{00000000-0000-0000-0000-000000000000}"/>
  <bookViews>
    <workbookView xWindow="-108" yWindow="-108" windowWidth="23256" windowHeight="12456" activeTab="1" xr2:uid="{C93587A1-5B53-482C-AFF4-8F053A7FD128}"/>
  </bookViews>
  <sheets>
    <sheet name="Sheet1" sheetId="1" r:id="rId1"/>
    <sheet name="worked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" i="2"/>
  <c r="H4" i="2"/>
  <c r="H5" i="2"/>
  <c r="H2" i="2"/>
  <c r="P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P18" i="2"/>
  <c r="P19" i="2"/>
  <c r="P20" i="2"/>
  <c r="P21" i="2"/>
  <c r="P22" i="2"/>
</calcChain>
</file>

<file path=xl/sharedStrings.xml><?xml version="1.0" encoding="utf-8"?>
<sst xmlns="http://schemas.openxmlformats.org/spreadsheetml/2006/main" count="301" uniqueCount="110">
  <si>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</si>
  <si>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</si>
  <si>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</si>
  <si>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</si>
  <si>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</si>
  <si>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</si>
  <si>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</si>
  <si>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</si>
  <si>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</si>
  <si>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</si>
  <si>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</si>
  <si>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</si>
  <si>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</si>
  <si>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</si>
  <si>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</si>
  <si>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</si>
  <si>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</si>
  <si>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</si>
  <si>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</si>
  <si>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</si>
  <si>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</si>
  <si>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</si>
  <si>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</si>
  <si>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</si>
  <si>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</si>
  <si>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</si>
  <si>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</si>
  <si>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</si>
  <si>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</si>
  <si>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</si>
  <si>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</si>
  <si>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</si>
  <si>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</si>
  <si>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</si>
  <si>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</si>
  <si>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</si>
  <si>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</si>
  <si>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</si>
  <si>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</si>
  <si>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</si>
  <si>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</si>
  <si>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</si>
  <si>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</si>
  <si>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</si>
  <si>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</si>
  <si>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</si>
  <si>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</si>
  <si>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</si>
  <si>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</si>
  <si>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</si>
  <si>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</si>
  <si>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</si>
  <si>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</si>
  <si>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</si>
  <si>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</si>
  <si>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</si>
  <si>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</si>
  <si>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</si>
  <si>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</si>
  <si>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</si>
  <si>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</si>
  <si>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</si>
  <si>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</si>
  <si>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</si>
  <si>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</si>
  <si>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</si>
  <si>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</si>
  <si>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</si>
  <si>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</si>
  <si>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</si>
  <si>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</si>
  <si>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</si>
  <si>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</si>
  <si>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</si>
  <si>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</si>
  <si>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</si>
  <si>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</si>
  <si>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</si>
  <si>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</si>
  <si>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</si>
  <si>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</si>
  <si>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</si>
  <si>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</si>
  <si>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</si>
  <si>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</si>
  <si>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</si>
  <si>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</si>
  <si>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</si>
  <si>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</si>
  <si>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</si>
  <si>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</si>
  <si>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</si>
  <si>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</si>
  <si>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TASK</t>
  </si>
  <si>
    <t>FORMULA</t>
  </si>
  <si>
    <t>RESULT</t>
  </si>
  <si>
    <t>TOTAL PRICE</t>
  </si>
  <si>
    <t>TOTAL PRODUCT</t>
  </si>
  <si>
    <t>AVERAGE PRICE OF THE PRODUCT</t>
  </si>
  <si>
    <t>MIN VALUE</t>
  </si>
  <si>
    <t>MAX VALUE</t>
  </si>
  <si>
    <t>Price Range</t>
  </si>
  <si>
    <t>TOTAL PRICE OF PROD IN ELEC CATEG</t>
  </si>
  <si>
    <t>NO.OF PROD PRICE &lt;100</t>
  </si>
  <si>
    <t>Day</t>
  </si>
  <si>
    <t>Country Code</t>
  </si>
  <si>
    <t>Month</t>
  </si>
  <si>
    <t>1)</t>
  </si>
  <si>
    <t>2)</t>
  </si>
  <si>
    <t>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</si>
</sst>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/>
    <xf numFmtId="0" fontId="3" fillId="3" borderId="0" xfId="1" applyFont="1" applyFill="1"/>
  </cellXfs>
  <cellStyles count="2">
    <cellStyle name="Normal" xfId="0" builtinId="0"/>
    <cellStyle name="Normal 2" xfId="1" xr:uid="{A7345DC1-0139-4E7E-B529-6D74D8BC05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E4D3-59A1-4C9A-A512-A0246FF5ADF3}">
  <dimension ref="A1:F35"/>
  <sheetViews>
    <sheetView topLeftCell="A13" workbookViewId="0">
      <selection activeCell="J22" sqref="J2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 x14ac:dyDescent="0.3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</row>
    <row r="7" spans="1:6" x14ac:dyDescent="0.3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</row>
    <row r="8" spans="1:6" x14ac:dyDescent="0.3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 x14ac:dyDescent="0.3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 x14ac:dyDescent="0.3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 x14ac:dyDescent="0.3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</row>
    <row r="12" spans="1:6" x14ac:dyDescent="0.3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6" x14ac:dyDescent="0.3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</row>
    <row r="14" spans="1:6" x14ac:dyDescent="0.3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6" x14ac:dyDescent="0.3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</row>
    <row r="16" spans="1:6" x14ac:dyDescent="0.3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</row>
    <row r="17" spans="1:6" x14ac:dyDescent="0.3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</row>
    <row r="18" spans="1:6" x14ac:dyDescent="0.3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6" x14ac:dyDescent="0.3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6" x14ac:dyDescent="0.3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6" x14ac:dyDescent="0.3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6" x14ac:dyDescent="0.3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6" x14ac:dyDescent="0.3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6" x14ac:dyDescent="0.3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6" x14ac:dyDescent="0.3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</row>
    <row r="26" spans="1:6" x14ac:dyDescent="0.3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6" x14ac:dyDescent="0.3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6" x14ac:dyDescent="0.3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6" x14ac:dyDescent="0.3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6" x14ac:dyDescent="0.3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6" x14ac:dyDescent="0.3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6" x14ac:dyDescent="0.3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 x14ac:dyDescent="0.3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 x14ac:dyDescent="0.3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 x14ac:dyDescent="0.3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4A51-5F26-46D9-9A97-99F6230D1CF3}">
  <dimension ref="A1:Q35"/>
  <sheetViews>
    <sheetView tabSelected="1" workbookViewId="0">
      <selection activeCell="N9" sqref="N9"/>
    </sheetView>
  </sheetViews>
  <sheetFormatPr defaultRowHeight="14.4" x14ac:dyDescent="0.3"/>
  <cols>
    <col min="1" max="1" width="13" customWidth="1"/>
    <col min="2" max="2" width="17.33203125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10" width="15.5546875" customWidth="1"/>
    <col min="15" max="15" width="28.5546875" customWidth="1"/>
    <col min="16" max="16" width="14.6640625" customWidth="1"/>
    <col min="17" max="17" width="11.441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101</v>
      </c>
      <c r="H1" s="1" t="s">
        <v>104</v>
      </c>
      <c r="I1" s="1" t="s">
        <v>105</v>
      </c>
      <c r="J1" s="1" t="s">
        <v>106</v>
      </c>
      <c r="O1" t="s">
        <v>93</v>
      </c>
      <c r="P1" t="s">
        <v>94</v>
      </c>
      <c r="Q1" t="s">
        <v>95</v>
      </c>
    </row>
    <row r="2" spans="1:17" x14ac:dyDescent="0.3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IF(D2&gt;=500, "High Price", "Standard Price")</f>
        <v>High Price</v>
      </c>
      <c r="H2" s="2" t="str">
        <f>LEFT(A2,2)</f>
        <v>28</v>
      </c>
      <c r="I2" s="2" t="str">
        <f>RIGHT(A2,2)</f>
        <v>US</v>
      </c>
      <c r="J2" s="2" t="str">
        <f>MID(A2,4,3)</f>
        <v>JAN</v>
      </c>
      <c r="N2" t="s">
        <v>107</v>
      </c>
      <c r="O2" t="s">
        <v>96</v>
      </c>
      <c r="P2">
        <v>10100</v>
      </c>
      <c r="Q2">
        <v>10100</v>
      </c>
    </row>
    <row r="3" spans="1:17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 t="str">
        <f t="shared" ref="G3:G35" si="0">IF(D3&gt;=500, "High Price", "Standard Price")</f>
        <v>Standard Price</v>
      </c>
      <c r="H3" s="2" t="str">
        <f t="shared" ref="H3:H35" si="1">LEFT(A3,2)</f>
        <v>15</v>
      </c>
      <c r="I3" s="2" t="str">
        <f t="shared" ref="I3:I35" si="2">RIGHT(A3,2)</f>
        <v>US</v>
      </c>
      <c r="J3" s="2" t="str">
        <f t="shared" ref="J3:J35" si="3">MID(A3,4,3)</f>
        <v>FEB</v>
      </c>
      <c r="O3" t="s">
        <v>97</v>
      </c>
      <c r="P3">
        <v>34</v>
      </c>
      <c r="Q3">
        <v>34</v>
      </c>
    </row>
    <row r="4" spans="1:17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si="0"/>
        <v>Standard Price</v>
      </c>
      <c r="H4" s="2" t="str">
        <f t="shared" si="1"/>
        <v>03</v>
      </c>
      <c r="I4" s="2" t="str">
        <f t="shared" si="2"/>
        <v>US</v>
      </c>
      <c r="J4" s="2" t="str">
        <f t="shared" si="3"/>
        <v>MAR</v>
      </c>
      <c r="O4" t="s">
        <v>98</v>
      </c>
      <c r="P4">
        <v>297.05900000000003</v>
      </c>
      <c r="Q4">
        <v>297.05900000000003</v>
      </c>
    </row>
    <row r="5" spans="1:17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 t="str">
        <f t="shared" si="0"/>
        <v>High Price</v>
      </c>
      <c r="H5" s="2" t="str">
        <f t="shared" si="1"/>
        <v>11</v>
      </c>
      <c r="I5" s="2" t="str">
        <f t="shared" si="2"/>
        <v>US</v>
      </c>
      <c r="J5" s="2" t="str">
        <f t="shared" si="3"/>
        <v>APR</v>
      </c>
    </row>
    <row r="6" spans="1:17" x14ac:dyDescent="0.3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0"/>
        <v>Standard Price</v>
      </c>
      <c r="H6" s="2" t="str">
        <f t="shared" si="1"/>
        <v>22</v>
      </c>
      <c r="I6" s="2" t="str">
        <f t="shared" si="2"/>
        <v>US</v>
      </c>
      <c r="J6" s="2" t="str">
        <f t="shared" si="3"/>
        <v>MAY</v>
      </c>
      <c r="N6" t="s">
        <v>108</v>
      </c>
      <c r="O6" t="s">
        <v>99</v>
      </c>
      <c r="P6">
        <v>30</v>
      </c>
      <c r="Q6">
        <v>30</v>
      </c>
    </row>
    <row r="7" spans="1:17" x14ac:dyDescent="0.3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 t="str">
        <f t="shared" si="0"/>
        <v>Standard Price</v>
      </c>
      <c r="H7" s="2" t="str">
        <f t="shared" si="1"/>
        <v>07</v>
      </c>
      <c r="I7" s="2" t="str">
        <f t="shared" si="2"/>
        <v>UK</v>
      </c>
      <c r="J7" s="2" t="str">
        <f t="shared" si="3"/>
        <v>JUN</v>
      </c>
      <c r="O7" t="s">
        <v>100</v>
      </c>
      <c r="P7">
        <v>1000</v>
      </c>
      <c r="Q7">
        <v>1000</v>
      </c>
    </row>
    <row r="8" spans="1:17" x14ac:dyDescent="0.3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0"/>
        <v>Standard Price</v>
      </c>
      <c r="H8" s="2" t="str">
        <f t="shared" si="1"/>
        <v>19</v>
      </c>
      <c r="I8" s="2" t="str">
        <f t="shared" si="2"/>
        <v>UK</v>
      </c>
      <c r="J8" s="2" t="str">
        <f t="shared" si="3"/>
        <v>JUL</v>
      </c>
    </row>
    <row r="9" spans="1:17" x14ac:dyDescent="0.3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 t="str">
        <f t="shared" si="0"/>
        <v>Standard Price</v>
      </c>
      <c r="H9" s="2" t="str">
        <f t="shared" si="1"/>
        <v>23</v>
      </c>
      <c r="I9" s="2" t="str">
        <f t="shared" si="2"/>
        <v>UK</v>
      </c>
      <c r="J9" s="2" t="str">
        <f t="shared" si="3"/>
        <v>AUG</v>
      </c>
      <c r="N9" t="s">
        <v>109</v>
      </c>
      <c r="O9" t="s">
        <v>102</v>
      </c>
      <c r="P9">
        <f>SUMIF(F2:F35, "Electronics",D2:D35)</f>
        <v>8050</v>
      </c>
      <c r="Q9">
        <v>8050</v>
      </c>
    </row>
    <row r="10" spans="1:17" x14ac:dyDescent="0.3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0"/>
        <v>High Price</v>
      </c>
      <c r="H10" s="2" t="str">
        <f t="shared" si="1"/>
        <v>05</v>
      </c>
      <c r="I10" s="2" t="str">
        <f t="shared" si="2"/>
        <v>UK</v>
      </c>
      <c r="J10" s="2" t="str">
        <f t="shared" si="3"/>
        <v>SEP</v>
      </c>
      <c r="O10" t="s">
        <v>103</v>
      </c>
      <c r="P10">
        <v>11</v>
      </c>
      <c r="Q10">
        <v>11</v>
      </c>
    </row>
    <row r="11" spans="1:17" x14ac:dyDescent="0.3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 t="str">
        <f t="shared" si="0"/>
        <v>Standard Price</v>
      </c>
      <c r="H11" s="2" t="str">
        <f t="shared" si="1"/>
        <v>14</v>
      </c>
      <c r="I11" s="2" t="str">
        <f t="shared" si="2"/>
        <v>UK</v>
      </c>
      <c r="J11" s="2" t="str">
        <f t="shared" si="3"/>
        <v>OCT</v>
      </c>
    </row>
    <row r="12" spans="1:17" x14ac:dyDescent="0.3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0"/>
        <v>High Price</v>
      </c>
      <c r="H12" s="2" t="str">
        <f t="shared" si="1"/>
        <v>17</v>
      </c>
      <c r="I12" s="2" t="str">
        <f t="shared" si="2"/>
        <v>IN</v>
      </c>
      <c r="J12" s="2" t="str">
        <f t="shared" si="3"/>
        <v>JUN</v>
      </c>
    </row>
    <row r="13" spans="1:17" x14ac:dyDescent="0.3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 t="str">
        <f t="shared" si="0"/>
        <v>Standard Price</v>
      </c>
      <c r="H13" s="2" t="str">
        <f t="shared" si="1"/>
        <v>25</v>
      </c>
      <c r="I13" s="2" t="str">
        <f t="shared" si="2"/>
        <v>AU</v>
      </c>
      <c r="J13" s="2" t="str">
        <f t="shared" si="3"/>
        <v>NOV</v>
      </c>
    </row>
    <row r="14" spans="1:17" x14ac:dyDescent="0.3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0"/>
        <v>Standard Price</v>
      </c>
      <c r="H14" s="2" t="str">
        <f t="shared" si="1"/>
        <v>08</v>
      </c>
      <c r="I14" s="2" t="str">
        <f t="shared" si="2"/>
        <v>DE</v>
      </c>
      <c r="J14" s="2" t="str">
        <f t="shared" si="3"/>
        <v>DEC</v>
      </c>
    </row>
    <row r="15" spans="1:17" x14ac:dyDescent="0.3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 t="str">
        <f t="shared" si="0"/>
        <v>Standard Price</v>
      </c>
      <c r="H15" s="2" t="str">
        <f t="shared" si="1"/>
        <v>18</v>
      </c>
      <c r="I15" s="2" t="str">
        <f t="shared" si="2"/>
        <v>CA</v>
      </c>
      <c r="J15" s="2" t="str">
        <f t="shared" si="3"/>
        <v>FEB</v>
      </c>
    </row>
    <row r="16" spans="1:17" x14ac:dyDescent="0.3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0"/>
        <v>Standard Price</v>
      </c>
      <c r="H16" s="2" t="str">
        <f t="shared" si="1"/>
        <v>16</v>
      </c>
      <c r="I16" s="2" t="str">
        <f t="shared" si="2"/>
        <v>ES</v>
      </c>
      <c r="J16" s="2" t="str">
        <f t="shared" si="3"/>
        <v>APR</v>
      </c>
    </row>
    <row r="17" spans="1:16" x14ac:dyDescent="0.3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 t="str">
        <f t="shared" si="0"/>
        <v>Standard Price</v>
      </c>
      <c r="H17" s="2" t="str">
        <f t="shared" si="1"/>
        <v>21</v>
      </c>
      <c r="I17" s="2" t="str">
        <f t="shared" si="2"/>
        <v>CA</v>
      </c>
      <c r="J17" s="2" t="str">
        <f t="shared" si="3"/>
        <v>AUG</v>
      </c>
    </row>
    <row r="18" spans="1:16" x14ac:dyDescent="0.3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0"/>
        <v>Standard Price</v>
      </c>
      <c r="H18" s="2" t="str">
        <f t="shared" si="1"/>
        <v>20</v>
      </c>
      <c r="I18" s="2" t="str">
        <f t="shared" si="2"/>
        <v>CN</v>
      </c>
      <c r="J18" s="2" t="str">
        <f t="shared" si="3"/>
        <v>AUG</v>
      </c>
      <c r="P18" t="str">
        <f>LEFT(O12,3)</f>
        <v/>
      </c>
    </row>
    <row r="19" spans="1:16" x14ac:dyDescent="0.3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 t="str">
        <f t="shared" si="0"/>
        <v>High Price</v>
      </c>
      <c r="H19" s="2" t="str">
        <f t="shared" si="1"/>
        <v>27</v>
      </c>
      <c r="I19" s="2" t="str">
        <f t="shared" si="2"/>
        <v>IT</v>
      </c>
      <c r="J19" s="2" t="str">
        <f t="shared" si="3"/>
        <v>JAN</v>
      </c>
      <c r="P19" t="str">
        <f>LEFT(O12,9)</f>
        <v/>
      </c>
    </row>
    <row r="20" spans="1:16" x14ac:dyDescent="0.3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0"/>
        <v>Standard Price</v>
      </c>
      <c r="H20" s="2" t="str">
        <f t="shared" si="1"/>
        <v>01</v>
      </c>
      <c r="I20" s="2" t="str">
        <f t="shared" si="2"/>
        <v>UK</v>
      </c>
      <c r="J20" s="2" t="str">
        <f t="shared" si="3"/>
        <v>MAR</v>
      </c>
      <c r="P20" t="str">
        <f>RIGHT(O12,5)</f>
        <v/>
      </c>
    </row>
    <row r="21" spans="1:16" x14ac:dyDescent="0.3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 t="str">
        <f t="shared" si="0"/>
        <v>Standard Price</v>
      </c>
      <c r="H21" s="2" t="str">
        <f t="shared" si="1"/>
        <v>14</v>
      </c>
      <c r="I21" s="2" t="str">
        <f t="shared" si="2"/>
        <v>US</v>
      </c>
      <c r="J21" s="2" t="str">
        <f t="shared" si="3"/>
        <v>AUG</v>
      </c>
      <c r="P21" t="str">
        <f>MID(O12,5,3)</f>
        <v/>
      </c>
    </row>
    <row r="22" spans="1:16" x14ac:dyDescent="0.3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0"/>
        <v>High Price</v>
      </c>
      <c r="H22" s="2" t="str">
        <f t="shared" si="1"/>
        <v>14</v>
      </c>
      <c r="I22" s="2" t="str">
        <f t="shared" si="2"/>
        <v>RU</v>
      </c>
      <c r="J22" s="2" t="str">
        <f t="shared" si="3"/>
        <v>MAY</v>
      </c>
      <c r="P22" t="str">
        <f>MID(O12,5,5)</f>
        <v/>
      </c>
    </row>
    <row r="23" spans="1:16" x14ac:dyDescent="0.3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 t="str">
        <f t="shared" si="0"/>
        <v>Standard Price</v>
      </c>
      <c r="H23" s="2" t="str">
        <f t="shared" si="1"/>
        <v>09</v>
      </c>
      <c r="I23" s="2" t="str">
        <f t="shared" si="2"/>
        <v>CA</v>
      </c>
      <c r="J23" s="2" t="str">
        <f t="shared" si="3"/>
        <v>JAN</v>
      </c>
    </row>
    <row r="24" spans="1:16" x14ac:dyDescent="0.3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0"/>
        <v>Standard Price</v>
      </c>
      <c r="H24" s="2" t="str">
        <f t="shared" si="1"/>
        <v>19</v>
      </c>
      <c r="I24" s="2" t="str">
        <f t="shared" si="2"/>
        <v>BR</v>
      </c>
      <c r="J24" s="2" t="str">
        <f t="shared" si="3"/>
        <v>JUL</v>
      </c>
    </row>
    <row r="25" spans="1:16" x14ac:dyDescent="0.3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2" t="str">
        <f t="shared" si="0"/>
        <v>Standard Price</v>
      </c>
      <c r="H25" s="2" t="str">
        <f t="shared" si="1"/>
        <v>21</v>
      </c>
      <c r="I25" s="2" t="str">
        <f t="shared" si="2"/>
        <v>CA</v>
      </c>
      <c r="J25" s="2" t="str">
        <f t="shared" si="3"/>
        <v>AUG</v>
      </c>
    </row>
    <row r="26" spans="1:16" x14ac:dyDescent="0.3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0"/>
        <v>High Price</v>
      </c>
      <c r="H26" s="2" t="str">
        <f t="shared" si="1"/>
        <v>29</v>
      </c>
      <c r="I26" s="2" t="str">
        <f t="shared" si="2"/>
        <v>CA</v>
      </c>
      <c r="J26" s="2" t="str">
        <f t="shared" si="3"/>
        <v>SEP</v>
      </c>
    </row>
    <row r="27" spans="1:16" x14ac:dyDescent="0.3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 t="str">
        <f t="shared" si="0"/>
        <v>Standard Price</v>
      </c>
      <c r="H27" s="2" t="str">
        <f t="shared" si="1"/>
        <v>03</v>
      </c>
      <c r="I27" s="2" t="str">
        <f t="shared" si="2"/>
        <v>CA</v>
      </c>
      <c r="J27" s="2" t="str">
        <f t="shared" si="3"/>
        <v>JUN</v>
      </c>
    </row>
    <row r="28" spans="1:16" x14ac:dyDescent="0.3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0"/>
        <v>Standard Price</v>
      </c>
      <c r="H28" s="2" t="str">
        <f t="shared" si="1"/>
        <v>11</v>
      </c>
      <c r="I28" s="2" t="str">
        <f t="shared" si="2"/>
        <v>CA</v>
      </c>
      <c r="J28" s="2" t="str">
        <f t="shared" si="3"/>
        <v>JUL</v>
      </c>
    </row>
    <row r="29" spans="1:16" x14ac:dyDescent="0.3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2" t="str">
        <f t="shared" si="0"/>
        <v>Standard Price</v>
      </c>
      <c r="H29" s="2" t="str">
        <f t="shared" si="1"/>
        <v>16</v>
      </c>
      <c r="I29" s="2" t="str">
        <f t="shared" si="2"/>
        <v>ES</v>
      </c>
      <c r="J29" s="2" t="str">
        <f t="shared" si="3"/>
        <v>APR</v>
      </c>
    </row>
    <row r="30" spans="1:16" x14ac:dyDescent="0.3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0"/>
        <v>Standard Price</v>
      </c>
      <c r="H30" s="2" t="str">
        <f t="shared" si="1"/>
        <v>07</v>
      </c>
      <c r="I30" s="2" t="str">
        <f t="shared" si="2"/>
        <v>CA</v>
      </c>
      <c r="J30" s="2" t="str">
        <f t="shared" si="3"/>
        <v>MAR</v>
      </c>
    </row>
    <row r="31" spans="1:16" x14ac:dyDescent="0.3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 t="str">
        <f t="shared" si="0"/>
        <v>Standard Price</v>
      </c>
      <c r="H31" s="2" t="str">
        <f t="shared" si="1"/>
        <v>13</v>
      </c>
      <c r="I31" s="2" t="str">
        <f t="shared" si="2"/>
        <v>CA</v>
      </c>
      <c r="J31" s="2" t="str">
        <f t="shared" si="3"/>
        <v>APR</v>
      </c>
    </row>
    <row r="32" spans="1:16" x14ac:dyDescent="0.3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0"/>
        <v>Standard Price</v>
      </c>
      <c r="H32" s="2" t="str">
        <f t="shared" si="1"/>
        <v>24</v>
      </c>
      <c r="I32" s="2" t="str">
        <f t="shared" si="2"/>
        <v>CA</v>
      </c>
      <c r="J32" s="2" t="str">
        <f t="shared" si="3"/>
        <v>MAY</v>
      </c>
    </row>
    <row r="33" spans="1:10" x14ac:dyDescent="0.3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 t="str">
        <f t="shared" si="0"/>
        <v>Standard Price</v>
      </c>
      <c r="H33" s="2" t="str">
        <f t="shared" si="1"/>
        <v>02</v>
      </c>
      <c r="I33" s="2" t="str">
        <f t="shared" si="2"/>
        <v>CA</v>
      </c>
      <c r="J33" s="2" t="str">
        <f t="shared" si="3"/>
        <v>DEC</v>
      </c>
    </row>
    <row r="34" spans="1:10" x14ac:dyDescent="0.3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0"/>
        <v>High Price</v>
      </c>
      <c r="H34" s="2" t="str">
        <f t="shared" si="1"/>
        <v>17</v>
      </c>
      <c r="I34" s="2" t="str">
        <f t="shared" si="2"/>
        <v>IN</v>
      </c>
      <c r="J34" s="2" t="str">
        <f t="shared" si="3"/>
        <v>JUN</v>
      </c>
    </row>
    <row r="35" spans="1:10" x14ac:dyDescent="0.3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 t="str">
        <f t="shared" si="0"/>
        <v>Standard Price</v>
      </c>
      <c r="H35" s="2" t="str">
        <f t="shared" si="1"/>
        <v>09</v>
      </c>
      <c r="I35" s="2" t="str">
        <f t="shared" si="2"/>
        <v>FR</v>
      </c>
      <c r="J35" s="2" t="str">
        <f t="shared" si="3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worked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SELVI S</dc:creator>
  <cp:lastModifiedBy>KALAI SELVI S</cp:lastModifiedBy>
  <dcterms:created xsi:type="dcterms:W3CDTF">2026-08-06T10:16:51Z</dcterms:created>
  <dcterms:modified xsi:type="dcterms:W3CDTF">2026-08-08T10:17:59Z</dcterms:modified>
</cp:coreProperties>
</file>